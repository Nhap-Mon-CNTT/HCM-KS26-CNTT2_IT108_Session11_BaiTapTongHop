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quang\Learning\Ex01\"/>
    </mc:Choice>
  </mc:AlternateContent>
  <xr:revisionPtr revIDLastSave="0" documentId="13_ncr:1_{177AD744-5C9B-4BA0-A536-9C402BA2C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ieuMuon" sheetId="1" r:id="rId1"/>
    <sheet name="DanhMucSach" sheetId="2" r:id="rId2"/>
  </sheets>
  <definedNames>
    <definedName name="_xlnm._FilterDatabase" localSheetId="0" hidden="1">PhieuMuon!$A$2:$F$6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3" i="1"/>
</calcChain>
</file>

<file path=xl/sharedStrings.xml><?xml version="1.0" encoding="utf-8"?>
<sst xmlns="http://schemas.openxmlformats.org/spreadsheetml/2006/main" count="37" uniqueCount="32">
  <si>
    <t>DANH SÁCH MƯỢN SÁCH THÁNG 10</t>
  </si>
  <si>
    <t>MSSV</t>
  </si>
  <si>
    <t>Họ Tên</t>
  </si>
  <si>
    <t>Mã Sách</t>
  </si>
  <si>
    <t>Ngày Mượn</t>
  </si>
  <si>
    <t>Tình Trạng</t>
  </si>
  <si>
    <t>SV001</t>
  </si>
  <si>
    <t>Nguyễn Văn An</t>
  </si>
  <si>
    <t>S001</t>
  </si>
  <si>
    <t>Đang mượn</t>
  </si>
  <si>
    <t>SV002</t>
  </si>
  <si>
    <t>Trần Thị Bình</t>
  </si>
  <si>
    <t>S002</t>
  </si>
  <si>
    <t>Quá hạn</t>
  </si>
  <si>
    <t>SV003</t>
  </si>
  <si>
    <t>Lê Văn Cường</t>
  </si>
  <si>
    <t>S003</t>
  </si>
  <si>
    <t>Đã trả</t>
  </si>
  <si>
    <t>SV004</t>
  </si>
  <si>
    <t>Phạm Thu Hà</t>
  </si>
  <si>
    <t>S099</t>
  </si>
  <si>
    <t>Tên Sách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</si>
  <si>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</si>
  <si>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</si>
  <si>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</si>
  <si>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</si>
  <si>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</si>
  <si>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</si>
  <si>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</si>
  <si>
    <t>4 Phiếu</t>
  </si>
  <si>
    <t>Tổng cộng:</t>
  </si>
  <si>
    <t>Tên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</si>
</sst>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5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6" fillId="0" borderId="0" xfId="0" applyFont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5" sqref="F15"/>
    </sheetView>
  </sheetViews>
  <sheetFormatPr defaultRowHeight="14.4" x14ac:dyDescent="0.3"/>
  <cols>
    <col min="1" max="1" width="12" customWidth="1"/>
    <col min="2" max="2" width="20" customWidth="1"/>
    <col min="3" max="3" width="10" customWidth="1"/>
    <col min="4" max="4" width="22" customWidth="1"/>
    <col min="5" max="6" width="14" customWidth="1"/>
    <col min="9" max="9" width="11.5546875" customWidth="1"/>
  </cols>
  <sheetData>
    <row r="1" spans="1:10" ht="18" x14ac:dyDescent="0.35">
      <c r="A1" s="8" t="s">
        <v>0</v>
      </c>
      <c r="B1" s="9"/>
      <c r="C1" s="9"/>
      <c r="D1" s="9"/>
      <c r="E1" s="9"/>
      <c r="F1" s="9"/>
    </row>
    <row r="2" spans="1:10" x14ac:dyDescent="0.3">
      <c r="A2" s="4" t="s">
        <v>1</v>
      </c>
      <c r="B2" s="4" t="s">
        <v>2</v>
      </c>
      <c r="C2" s="4" t="s">
        <v>3</v>
      </c>
      <c r="D2" s="4" t="s">
        <v>31</v>
      </c>
      <c r="E2" s="4" t="s">
        <v>4</v>
      </c>
      <c r="F2" s="4" t="s">
        <v>5</v>
      </c>
      <c r="I2" s="3" t="s">
        <v>30</v>
      </c>
      <c r="J2" t="s">
        <v>29</v>
      </c>
    </row>
    <row r="3" spans="1:10" x14ac:dyDescent="0.3">
      <c r="A3" s="5" t="s">
        <v>6</v>
      </c>
      <c r="B3" s="5" t="s">
        <v>7</v>
      </c>
      <c r="C3" s="5" t="s">
        <v>8</v>
      </c>
      <c r="D3" s="5" t="str">
        <f>IFERROR(VLOOKUP(C3,DanhMucSach!$A$2:$C$4, 3, FALSE),"Không tìm thấy sách")</f>
        <v>Công nghệ thông tin</v>
      </c>
      <c r="E3" s="6">
        <v>46296</v>
      </c>
      <c r="F3" s="5" t="s">
        <v>9</v>
      </c>
    </row>
    <row r="4" spans="1:10" x14ac:dyDescent="0.3">
      <c r="A4" s="5" t="s">
        <v>10</v>
      </c>
      <c r="B4" s="5" t="s">
        <v>11</v>
      </c>
      <c r="C4" s="5" t="s">
        <v>12</v>
      </c>
      <c r="D4" s="5" t="str">
        <f>IFERROR(VLOOKUP(C4,DanhMucSach!$A$2:$C$4, 3, FALSE),"Không tìm thấy sách")</f>
        <v>Toán học</v>
      </c>
      <c r="E4" s="6">
        <v>46298</v>
      </c>
      <c r="F4" s="5" t="s">
        <v>13</v>
      </c>
    </row>
    <row r="5" spans="1:10" x14ac:dyDescent="0.3">
      <c r="A5" s="5" t="s">
        <v>14</v>
      </c>
      <c r="B5" s="5" t="s">
        <v>15</v>
      </c>
      <c r="C5" s="5" t="s">
        <v>16</v>
      </c>
      <c r="D5" s="5" t="str">
        <f>IFERROR(VLOOKUP(C5,DanhMucSach!$A$2:$C$4, 3, FALSE),"Không tìm thấy sách")</f>
        <v>Kỹ năng sống</v>
      </c>
      <c r="E5" s="6">
        <v>46305</v>
      </c>
      <c r="F5" s="5" t="s">
        <v>17</v>
      </c>
    </row>
    <row r="6" spans="1:10" x14ac:dyDescent="0.3">
      <c r="A6" s="5" t="s">
        <v>18</v>
      </c>
      <c r="B6" s="5" t="s">
        <v>19</v>
      </c>
      <c r="C6" s="5" t="s">
        <v>20</v>
      </c>
      <c r="D6" s="5" t="str">
        <f>IFERROR(VLOOKUP(C6,DanhMucSach!$A$2:$C$4, 3, FALSE),"Không tìm thấy sách")</f>
        <v>Không tìm thấy sách</v>
      </c>
      <c r="E6" s="6">
        <v>46307</v>
      </c>
      <c r="F6" s="5" t="s">
        <v>9</v>
      </c>
    </row>
    <row r="7" spans="1:10" x14ac:dyDescent="0.3">
      <c r="A7" s="3"/>
      <c r="F7" s="7"/>
    </row>
  </sheetData>
  <autoFilter ref="A2:F6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22" customWidth="1"/>
  </cols>
  <sheetData>
    <row r="1" spans="1:3" x14ac:dyDescent="0.3">
      <c r="A1" s="1" t="s">
        <v>3</v>
      </c>
      <c r="B1" s="1" t="s">
        <v>21</v>
      </c>
      <c r="C1" s="1" t="s">
        <v>22</v>
      </c>
    </row>
    <row r="2" spans="1:3" x14ac:dyDescent="0.3">
      <c r="A2" s="2" t="s">
        <v>8</v>
      </c>
      <c r="B2" s="2" t="s">
        <v>23</v>
      </c>
      <c r="C2" s="2" t="s">
        <v>24</v>
      </c>
    </row>
    <row r="3" spans="1:3" x14ac:dyDescent="0.3">
      <c r="A3" s="2" t="s">
        <v>12</v>
      </c>
      <c r="B3" s="2" t="s">
        <v>25</v>
      </c>
      <c r="C3" s="2" t="s">
        <v>26</v>
      </c>
    </row>
    <row r="4" spans="1:3" x14ac:dyDescent="0.3">
      <c r="A4" s="2" t="s">
        <v>16</v>
      </c>
      <c r="B4" s="2" t="s">
        <v>27</v>
      </c>
      <c r="C4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Nguyễn</cp:lastModifiedBy>
  <dcterms:created xsi:type="dcterms:W3CDTF">2026-10-19T08:41:42Z</dcterms:created>
  <dcterms:modified xsi:type="dcterms:W3CDTF">2026-10-19T04:00:40Z</dcterms:modified>
</cp:coreProperties>
</file>